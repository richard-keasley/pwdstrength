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ocuments\GitHub\pwdstrength\"/>
    </mc:Choice>
  </mc:AlternateContent>
  <xr:revisionPtr revIDLastSave="0" documentId="13_ncr:1_{DDC339D6-AE4E-4479-A668-2878538D31EB}" xr6:coauthVersionLast="47" xr6:coauthVersionMax="47" xr10:uidLastSave="{00000000-0000-0000-0000-000000000000}"/>
  <bookViews>
    <workbookView xWindow="-108" yWindow="-108" windowWidth="23256" windowHeight="12456" xr2:uid="{1241A073-5CF3-49A6-96B8-7D50E6754806}"/>
  </bookViews>
  <sheets>
    <sheet name="Sheet1" sheetId="1" r:id="rId1"/>
  </sheets>
  <definedNames>
    <definedName name="mul">Sheet1!$B$4</definedName>
    <definedName name="pwr">Sheet1!$B$5</definedName>
    <definedName name="size">Sheet1!$B$7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E10" i="1"/>
  <c r="F10" i="1" s="1"/>
  <c r="E5" i="1"/>
  <c r="F5" i="1" s="1"/>
  <c r="E6" i="1"/>
  <c r="F6" i="1" s="1"/>
  <c r="E7" i="1"/>
  <c r="F7" i="1" s="1"/>
  <c r="E8" i="1"/>
  <c r="F8" i="1" s="1"/>
  <c r="E9" i="1"/>
  <c r="F9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4" i="1"/>
  <c r="F4" i="1" s="1"/>
  <c r="G17" i="1" l="1"/>
  <c r="G12" i="1"/>
  <c r="G8" i="1"/>
  <c r="G15" i="1"/>
  <c r="G7" i="1"/>
  <c r="G20" i="1"/>
  <c r="G18" i="1"/>
  <c r="G13" i="1"/>
  <c r="G10" i="1"/>
  <c r="G9" i="1"/>
  <c r="G6" i="1"/>
  <c r="G19" i="1"/>
  <c r="G16" i="1"/>
  <c r="G14" i="1"/>
  <c r="G11" i="1"/>
  <c r="G4" i="1"/>
  <c r="G5" i="1"/>
</calcChain>
</file>

<file path=xl/sharedStrings.xml><?xml version="1.0" encoding="utf-8"?>
<sst xmlns="http://schemas.openxmlformats.org/spreadsheetml/2006/main" count="17" uniqueCount="15">
  <si>
    <t>entropy</t>
  </si>
  <si>
    <t>score</t>
  </si>
  <si>
    <t>size</t>
  </si>
  <si>
    <t>pwr</t>
  </si>
  <si>
    <t>mul</t>
  </si>
  <si>
    <t>strlen</t>
  </si>
  <si>
    <t>https://www.omnicalculator.com/other/password-entropy</t>
  </si>
  <si>
    <t>strength</t>
  </si>
  <si>
    <t>label</t>
  </si>
  <si>
    <t>v weak</t>
  </si>
  <si>
    <t>weak</t>
  </si>
  <si>
    <t>fair</t>
  </si>
  <si>
    <t>good</t>
  </si>
  <si>
    <t>v strong</t>
  </si>
  <si>
    <t>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</si>
</sst>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Sheet1!$F$3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Sheet1!$D$4:$D$20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Sheet1!$F$4:$F$20</c:f>
              <c:numCache>
                <c:formatCode>0</c:formatCode>
                <c:ptCount val="17"/>
                <c:pt idx="0">
                  <c:v>0</c:v>
                </c:pt>
                <c:pt idx="1">
                  <c:v>1.5286180733165751</c:v>
                </c:pt>
                <c:pt idx="2">
                  <c:v>4.3235848219458592</c:v>
                </c:pt>
                <c:pt idx="3">
                  <c:v>7.9429325050570689</c:v>
                </c:pt>
                <c:pt idx="4">
                  <c:v>12.228944586532599</c:v>
                </c:pt>
                <c:pt idx="5">
                  <c:v>17.090469617853099</c:v>
                </c:pt>
                <c:pt idx="6">
                  <c:v>22.466005747331621</c:v>
                </c:pt>
                <c:pt idx="7">
                  <c:v>28.31040290116049</c:v>
                </c:pt>
                <c:pt idx="8">
                  <c:v>34.588678575566888</c:v>
                </c:pt>
                <c:pt idx="9">
                  <c:v>41.272687979547513</c:v>
                </c:pt>
                <c:pt idx="10">
                  <c:v>48.339147841786364</c:v>
                </c:pt>
                <c:pt idx="11">
                  <c:v>55.76837856641766</c:v>
                </c:pt>
                <c:pt idx="12">
                  <c:v>63.543460040456509</c:v>
                </c:pt>
                <c:pt idx="13">
                  <c:v>71.649640971270458</c:v>
                </c:pt>
                <c:pt idx="14">
                  <c:v>80.073911478135571</c:v>
                </c:pt>
                <c:pt idx="15">
                  <c:v>88.804685110001472</c:v>
                </c:pt>
                <c:pt idx="16">
                  <c:v>97.831556692260804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43-4E22-92BE-3D60CDE83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027568"/>
        <c:axId val="621407088"/>
      </c:scatterChart>
      <c:scatterChart>
        <c:scatterStyle val="smooth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entropy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Sheet1!$D$4:$D$20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Sheet1!$E$4:$E$20</c:f>
              <c:numCache>
                <c:formatCode>0.00</c:formatCode>
                <c:ptCount val="17"/>
                <c:pt idx="0">
                  <c:v>0</c:v>
                </c:pt>
                <c:pt idx="1">
                  <c:v>4.7004397181410926</c:v>
                </c:pt>
                <c:pt idx="2">
                  <c:v>9.4008794362821853</c:v>
                </c:pt>
                <c:pt idx="3">
                  <c:v>14.101319154423278</c:v>
                </c:pt>
                <c:pt idx="4">
                  <c:v>18.801758872564371</c:v>
                </c:pt>
                <c:pt idx="5">
                  <c:v>23.502198590705461</c:v>
                </c:pt>
                <c:pt idx="6">
                  <c:v>28.202638308846556</c:v>
                </c:pt>
                <c:pt idx="7">
                  <c:v>32.903078026987643</c:v>
                </c:pt>
                <c:pt idx="8">
                  <c:v>37.603517745128741</c:v>
                </c:pt>
                <c:pt idx="9">
                  <c:v>42.303957463269832</c:v>
                </c:pt>
                <c:pt idx="10">
                  <c:v>47.004397181410923</c:v>
                </c:pt>
                <c:pt idx="11">
                  <c:v>51.704836899552021</c:v>
                </c:pt>
                <c:pt idx="12">
                  <c:v>56.405276617693112</c:v>
                </c:pt>
                <c:pt idx="13">
                  <c:v>61.105716335834195</c:v>
                </c:pt>
                <c:pt idx="14">
                  <c:v>65.806156053975286</c:v>
                </c:pt>
                <c:pt idx="15">
                  <c:v>70.506595772116384</c:v>
                </c:pt>
                <c:pt idx="16">
                  <c:v>75.207035490257482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43-4E22-92BE-3D60CDE83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996015"/>
        <c:axId val="708992175"/>
      </c:scatterChart>
      <c:valAx>
        <c:axId val="89602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07088"/>
        <c:crosses val="autoZero"/>
        <c:crossBetween val="midCat"/>
      </c:valAx>
      <c:valAx>
        <c:axId val="62140708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027568"/>
        <c:crosses val="autoZero"/>
        <c:crossBetween val="midCat"/>
      </c:valAx>
      <c:valAx>
        <c:axId val="708992175"/>
        <c:scaling>
          <c:orientation val="minMax"/>
          <c:max val="96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96015"/>
        <c:crosses val="max"/>
        <c:crossBetween val="midCat"/>
        <c:majorUnit val="16"/>
        <c:minorUnit val="4"/>
      </c:valAx>
      <c:valAx>
        <c:axId val="708996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899217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2</xdr:row>
      <xdr:rowOff>80962</xdr:rowOff>
    </xdr:from>
    <xdr:to>
      <xdr:col>21</xdr:col>
      <xdr:colOff>76199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E89CC-A996-B760-EFFD-29FD24A69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3B487-E7C2-419B-ADC8-E60805B31502}" name="Table1" displayName="Table1" ref="D3:G20" totalsRowShown="0" headerRowDxfId="10" dataDxfId="9">
  <autoFilter ref="D3:G20" xr:uid="{96B3B487-E7C2-419B-ADC8-E60805B31502}"/>
  <tableColumns count="4">
    <tableColumn id="3" xr3:uid="{94E688CF-59A3-45DD-9D42-13175B67F354}" name="strlen" dataDxfId="8"/>
    <tableColumn id="1" xr3:uid="{6A0AE597-A356-47BB-92A9-366BA9A90B9D}" name="entropy" dataDxfId="2">
      <calculatedColumnFormula>LOG(size^Table1[[#This Row],[strlen]], 2)</calculatedColumnFormula>
    </tableColumn>
    <tableColumn id="2" xr3:uid="{DE101A8F-8A1F-49D9-8A14-4FC5D2F4CDE9}" name="score" dataDxfId="0">
      <calculatedColumnFormula xml:space="preserve"> mul*Table1[[#This Row],[entropy]]^pwr</calculatedColumnFormula>
    </tableColumn>
    <tableColumn id="5" xr3:uid="{905BFEFF-0194-436A-AD03-5DC43FB43DA6}" name="strength" dataDxfId="1">
      <calculatedColumnFormula>ROUND(Table1[[#This Row],[score]]/20,0)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B74D6C-135F-40E9-876A-0FDFA1421B30}" name="Table2" displayName="Table2" ref="D23:F29" totalsRowShown="0" headerRowDxfId="7" dataDxfId="6">
  <autoFilter ref="D23:F29" xr:uid="{F3B74D6C-135F-40E9-876A-0FDFA1421B30}"/>
  <tableColumns count="3">
    <tableColumn id="1" xr3:uid="{ABD7F27A-6A79-471F-9471-7767A7E66DD7}" name="entropy" dataDxfId="5"/>
    <tableColumn id="4" xr3:uid="{C5953E64-853D-4FEF-B544-B494F9D60C06}" name="label" dataDxfId="4"/>
    <tableColumn id="2" xr3:uid="{59E0F959-0BFB-4448-BECB-7DF0454927C8}" name="strength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591A-D8AB-4DA1-9480-A257A9B548A1}">
  <dimension ref="A1:G29"/>
  <sheetViews>
    <sheetView tabSelected="1" workbookViewId="0">
      <selection activeCell="B5" sqref="B5"/>
    </sheetView>
  </sheetViews>
  <sheetFormatPr defaultRowHeight="14.4" x14ac:dyDescent="0.3"/>
  <cols>
    <col min="1" max="1" width="8.33203125" customWidth="1"/>
    <col min="2" max="2" width="7.88671875" customWidth="1"/>
    <col min="3" max="3" width="5.109375" customWidth="1"/>
    <col min="4" max="4" width="14" customWidth="1"/>
    <col min="5" max="5" width="14" style="3" customWidth="1"/>
    <col min="6" max="7" width="14" customWidth="1"/>
  </cols>
  <sheetData>
    <row r="1" spans="1:7" x14ac:dyDescent="0.3">
      <c r="A1" t="str">
        <f>"$score = ($entropy ** "&amp;pwr&amp;") * "&amp;mul&amp;";"</f>
        <v>$score = ($entropy ** 1.5) * 0.15;</v>
      </c>
    </row>
    <row r="3" spans="1:7" x14ac:dyDescent="0.3">
      <c r="D3" s="1" t="s">
        <v>5</v>
      </c>
      <c r="E3" s="1" t="s">
        <v>0</v>
      </c>
      <c r="F3" s="2" t="s">
        <v>1</v>
      </c>
      <c r="G3" s="1" t="s">
        <v>7</v>
      </c>
    </row>
    <row r="4" spans="1:7" x14ac:dyDescent="0.3">
      <c r="A4" t="s">
        <v>4</v>
      </c>
      <c r="B4" s="6">
        <v>0.15</v>
      </c>
      <c r="D4" s="1">
        <v>0</v>
      </c>
      <c r="E4" s="2">
        <f>LOG(size^Table1[[#This Row],[strlen]], 2)</f>
        <v>0</v>
      </c>
      <c r="F4" s="4">
        <f xml:space="preserve"> mul*Table1[[#This Row],[entropy]]^pwr</f>
        <v>0</v>
      </c>
      <c r="G4" s="1">
        <f>ROUND(Table1[[#This Row],[score]]/20,0)</f>
        <v>0</v>
      </c>
    </row>
    <row r="5" spans="1:7" x14ac:dyDescent="0.3">
      <c r="A5" t="s">
        <v>3</v>
      </c>
      <c r="B5" s="6">
        <v>1.5</v>
      </c>
      <c r="D5" s="1">
        <v>1</v>
      </c>
      <c r="E5" s="2">
        <f>LOG(size^Table1[[#This Row],[strlen]], 2)</f>
        <v>4.7004397181410926</v>
      </c>
      <c r="F5" s="4">
        <f xml:space="preserve"> mul*Table1[[#This Row],[entropy]]^pwr</f>
        <v>1.5286180733165751</v>
      </c>
      <c r="G5" s="1">
        <f>ROUND(Table1[[#This Row],[score]]/20,0)</f>
        <v>0</v>
      </c>
    </row>
    <row r="6" spans="1:7" x14ac:dyDescent="0.3">
      <c r="D6" s="1">
        <v>2</v>
      </c>
      <c r="E6" s="2">
        <f>LOG(size^Table1[[#This Row],[strlen]], 2)</f>
        <v>9.4008794362821853</v>
      </c>
      <c r="F6" s="4">
        <f xml:space="preserve"> mul*Table1[[#This Row],[entropy]]^pwr</f>
        <v>4.3235848219458592</v>
      </c>
      <c r="G6" s="1">
        <f>ROUND(Table1[[#This Row],[score]]/20,0)</f>
        <v>0</v>
      </c>
    </row>
    <row r="7" spans="1:7" x14ac:dyDescent="0.3">
      <c r="A7" t="s">
        <v>2</v>
      </c>
      <c r="B7" s="6">
        <v>26</v>
      </c>
      <c r="D7" s="1">
        <v>3</v>
      </c>
      <c r="E7" s="2">
        <f>LOG(size^Table1[[#This Row],[strlen]], 2)</f>
        <v>14.101319154423278</v>
      </c>
      <c r="F7" s="4">
        <f xml:space="preserve"> mul*Table1[[#This Row],[entropy]]^pwr</f>
        <v>7.9429325050570689</v>
      </c>
      <c r="G7" s="1">
        <f>ROUND(Table1[[#This Row],[score]]/20,0)</f>
        <v>0</v>
      </c>
    </row>
    <row r="8" spans="1:7" x14ac:dyDescent="0.3">
      <c r="D8" s="1">
        <v>4</v>
      </c>
      <c r="E8" s="2">
        <f>LOG(size^Table1[[#This Row],[strlen]], 2)</f>
        <v>18.801758872564371</v>
      </c>
      <c r="F8" s="4">
        <f xml:space="preserve"> mul*Table1[[#This Row],[entropy]]^pwr</f>
        <v>12.228944586532599</v>
      </c>
      <c r="G8" s="1">
        <f>ROUND(Table1[[#This Row],[score]]/20,0)</f>
        <v>1</v>
      </c>
    </row>
    <row r="9" spans="1:7" x14ac:dyDescent="0.3">
      <c r="D9" s="1">
        <v>5</v>
      </c>
      <c r="E9" s="2">
        <f>LOG(size^Table1[[#This Row],[strlen]], 2)</f>
        <v>23.502198590705461</v>
      </c>
      <c r="F9" s="4">
        <f xml:space="preserve"> mul*Table1[[#This Row],[entropy]]^pwr</f>
        <v>17.090469617853099</v>
      </c>
      <c r="G9" s="1">
        <f>ROUND(Table1[[#This Row],[score]]/20,0)</f>
        <v>1</v>
      </c>
    </row>
    <row r="10" spans="1:7" x14ac:dyDescent="0.3">
      <c r="D10" s="1">
        <v>6</v>
      </c>
      <c r="E10" s="2">
        <f>LOG(size^Table1[[#This Row],[strlen]], 2)</f>
        <v>28.202638308846556</v>
      </c>
      <c r="F10" s="4">
        <f xml:space="preserve"> mul*Table1[[#This Row],[entropy]]^pwr</f>
        <v>22.466005747331621</v>
      </c>
      <c r="G10" s="1">
        <f>ROUND(Table1[[#This Row],[score]]/20,0)</f>
        <v>1</v>
      </c>
    </row>
    <row r="11" spans="1:7" x14ac:dyDescent="0.3">
      <c r="D11" s="1">
        <v>7</v>
      </c>
      <c r="E11" s="2">
        <f>LOG(size^Table1[[#This Row],[strlen]], 2)</f>
        <v>32.903078026987643</v>
      </c>
      <c r="F11" s="4">
        <f xml:space="preserve"> mul*Table1[[#This Row],[entropy]]^pwr</f>
        <v>28.31040290116049</v>
      </c>
      <c r="G11" s="1">
        <f>ROUND(Table1[[#This Row],[score]]/20,0)</f>
        <v>1</v>
      </c>
    </row>
    <row r="12" spans="1:7" x14ac:dyDescent="0.3">
      <c r="D12" s="1">
        <v>8</v>
      </c>
      <c r="E12" s="2">
        <f>LOG(size^Table1[[#This Row],[strlen]], 2)</f>
        <v>37.603517745128741</v>
      </c>
      <c r="F12" s="4">
        <f xml:space="preserve"> mul*Table1[[#This Row],[entropy]]^pwr</f>
        <v>34.588678575566888</v>
      </c>
      <c r="G12" s="1">
        <f>ROUND(Table1[[#This Row],[score]]/20,0)</f>
        <v>2</v>
      </c>
    </row>
    <row r="13" spans="1:7" x14ac:dyDescent="0.3">
      <c r="D13" s="1">
        <v>9</v>
      </c>
      <c r="E13" s="2">
        <f>LOG(size^Table1[[#This Row],[strlen]], 2)</f>
        <v>42.303957463269832</v>
      </c>
      <c r="F13" s="4">
        <f xml:space="preserve"> mul*Table1[[#This Row],[entropy]]^pwr</f>
        <v>41.272687979547513</v>
      </c>
      <c r="G13" s="1">
        <f>ROUND(Table1[[#This Row],[score]]/20,0)</f>
        <v>2</v>
      </c>
    </row>
    <row r="14" spans="1:7" x14ac:dyDescent="0.3">
      <c r="D14" s="1">
        <v>10</v>
      </c>
      <c r="E14" s="2">
        <f>LOG(size^Table1[[#This Row],[strlen]], 2)</f>
        <v>47.004397181410923</v>
      </c>
      <c r="F14" s="4">
        <f xml:space="preserve"> mul*Table1[[#This Row],[entropy]]^pwr</f>
        <v>48.339147841786364</v>
      </c>
      <c r="G14" s="1">
        <f>ROUND(Table1[[#This Row],[score]]/20,0)</f>
        <v>2</v>
      </c>
    </row>
    <row r="15" spans="1:7" x14ac:dyDescent="0.3">
      <c r="D15" s="1">
        <v>11</v>
      </c>
      <c r="E15" s="2">
        <f>LOG(size^Table1[[#This Row],[strlen]], 2)</f>
        <v>51.704836899552021</v>
      </c>
      <c r="F15" s="4">
        <f xml:space="preserve"> mul*Table1[[#This Row],[entropy]]^pwr</f>
        <v>55.76837856641766</v>
      </c>
      <c r="G15" s="1">
        <f>ROUND(Table1[[#This Row],[score]]/20,0)</f>
        <v>3</v>
      </c>
    </row>
    <row r="16" spans="1:7" x14ac:dyDescent="0.3">
      <c r="D16" s="1">
        <v>12</v>
      </c>
      <c r="E16" s="2">
        <f>LOG(size^Table1[[#This Row],[strlen]], 2)</f>
        <v>56.405276617693112</v>
      </c>
      <c r="F16" s="4">
        <f xml:space="preserve"> mul*Table1[[#This Row],[entropy]]^pwr</f>
        <v>63.543460040456509</v>
      </c>
      <c r="G16" s="1">
        <f>ROUND(Table1[[#This Row],[score]]/20,0)</f>
        <v>3</v>
      </c>
    </row>
    <row r="17" spans="4:7" x14ac:dyDescent="0.3">
      <c r="D17" s="1">
        <v>13</v>
      </c>
      <c r="E17" s="2">
        <f>LOG(size^Table1[[#This Row],[strlen]], 2)</f>
        <v>61.105716335834195</v>
      </c>
      <c r="F17" s="4">
        <f xml:space="preserve"> mul*Table1[[#This Row],[entropy]]^pwr</f>
        <v>71.649640971270458</v>
      </c>
      <c r="G17" s="1">
        <f>ROUND(Table1[[#This Row],[score]]/20,0)</f>
        <v>4</v>
      </c>
    </row>
    <row r="18" spans="4:7" x14ac:dyDescent="0.3">
      <c r="D18" s="1">
        <v>14</v>
      </c>
      <c r="E18" s="2">
        <f>LOG(size^Table1[[#This Row],[strlen]], 2)</f>
        <v>65.806156053975286</v>
      </c>
      <c r="F18" s="4">
        <f xml:space="preserve"> mul*Table1[[#This Row],[entropy]]^pwr</f>
        <v>80.073911478135571</v>
      </c>
      <c r="G18" s="1">
        <f>ROUND(Table1[[#This Row],[score]]/20,0)</f>
        <v>4</v>
      </c>
    </row>
    <row r="19" spans="4:7" x14ac:dyDescent="0.3">
      <c r="D19" s="1">
        <v>15</v>
      </c>
      <c r="E19" s="2">
        <f>LOG(size^Table1[[#This Row],[strlen]], 2)</f>
        <v>70.506595772116384</v>
      </c>
      <c r="F19" s="4">
        <f xml:space="preserve"> mul*Table1[[#This Row],[entropy]]^pwr</f>
        <v>88.804685110001472</v>
      </c>
      <c r="G19" s="1">
        <f>ROUND(Table1[[#This Row],[score]]/20,0)</f>
        <v>4</v>
      </c>
    </row>
    <row r="20" spans="4:7" x14ac:dyDescent="0.3">
      <c r="D20" s="1">
        <v>16</v>
      </c>
      <c r="E20" s="2">
        <f>LOG(size^Table1[[#This Row],[strlen]], 2)</f>
        <v>75.207035490257482</v>
      </c>
      <c r="F20" s="4">
        <f xml:space="preserve"> mul*Table1[[#This Row],[entropy]]^pwr</f>
        <v>97.831556692260804</v>
      </c>
      <c r="G20" s="1">
        <f>ROUND(Table1[[#This Row],[score]]/20,0)</f>
        <v>5</v>
      </c>
    </row>
    <row r="21" spans="4:7" x14ac:dyDescent="0.3">
      <c r="D21" s="1"/>
      <c r="E21" s="2"/>
      <c r="F21" s="4"/>
      <c r="G21" s="7"/>
    </row>
    <row r="22" spans="4:7" x14ac:dyDescent="0.3">
      <c r="D22" t="s">
        <v>6</v>
      </c>
      <c r="G22" s="7"/>
    </row>
    <row r="23" spans="4:7" x14ac:dyDescent="0.3">
      <c r="D23" s="4" t="s">
        <v>0</v>
      </c>
      <c r="E23" s="4" t="s">
        <v>8</v>
      </c>
      <c r="F23" s="4" t="s">
        <v>7</v>
      </c>
    </row>
    <row r="24" spans="4:7" x14ac:dyDescent="0.3">
      <c r="D24" s="5">
        <v>0</v>
      </c>
      <c r="E24" s="4" t="s">
        <v>9</v>
      </c>
      <c r="F24" s="4">
        <v>0</v>
      </c>
    </row>
    <row r="25" spans="4:7" x14ac:dyDescent="0.3">
      <c r="D25" s="5">
        <v>16</v>
      </c>
      <c r="E25" s="4" t="s">
        <v>10</v>
      </c>
      <c r="F25" s="4">
        <v>1</v>
      </c>
    </row>
    <row r="26" spans="4:7" x14ac:dyDescent="0.3">
      <c r="D26" s="5">
        <v>24</v>
      </c>
      <c r="E26" s="4" t="s">
        <v>11</v>
      </c>
      <c r="F26" s="4">
        <v>2</v>
      </c>
    </row>
    <row r="27" spans="4:7" x14ac:dyDescent="0.3">
      <c r="D27" s="5">
        <v>36</v>
      </c>
      <c r="E27" s="4" t="s">
        <v>12</v>
      </c>
      <c r="F27" s="4">
        <v>3</v>
      </c>
    </row>
    <row r="28" spans="4:7" x14ac:dyDescent="0.3">
      <c r="D28" s="5">
        <v>54</v>
      </c>
      <c r="E28" s="4" t="s">
        <v>14</v>
      </c>
      <c r="F28" s="4">
        <v>4</v>
      </c>
    </row>
    <row r="29" spans="4:7" x14ac:dyDescent="0.3">
      <c r="D29" s="5">
        <v>64</v>
      </c>
      <c r="E29" s="4" t="s">
        <v>13</v>
      </c>
      <c r="F29" s="4">
        <v>5</v>
      </c>
    </row>
  </sheetData>
  <conditionalFormatting sqref="G4:G20">
    <cfRule type="iconSet" priority="1">
      <iconSet>
        <cfvo type="percent" val="0"/>
        <cfvo type="num" val="2"/>
        <cfvo type="num" val="4"/>
      </iconSet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mul</vt:lpstr>
      <vt:lpstr>pwr</vt:lpstr>
      <vt:lpstr>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Keasley</dc:creator>
  <cp:lastModifiedBy>Richard Keasley</cp:lastModifiedBy>
  <dcterms:created xsi:type="dcterms:W3CDTF">2026-07-08T10:50:31Z</dcterms:created>
  <dcterms:modified xsi:type="dcterms:W3CDTF">2026-07-08T19:33:49Z</dcterms:modified>
</cp:coreProperties>
</file>
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4d1f46c5e1c0e4/Documents/www/base-camp/base-camp6/html/_repo/pwdstrength/"/>
    </mc:Choice>
  </mc:AlternateContent>
  <xr:revisionPtr revIDLastSave="109" documentId="8_{4481B6EB-8C7C-4FC9-AD70-ED219D215F03}" xr6:coauthVersionLast="47" xr6:coauthVersionMax="47" xr10:uidLastSave="{CF72AF1A-C4F9-4869-85BA-F16FA48CFE6F}"/>
  <bookViews>
    <workbookView xWindow="-120" yWindow="-120" windowWidth="29040" windowHeight="17520" xr2:uid="{1241A073-5CF3-49A6-96B8-7D50E6754806}"/>
  </bookViews>
  <sheets>
    <sheet name="Sheet1" sheetId="1" r:id="rId1"/>
  </sheets>
  <definedNames>
    <definedName name="mul">Sheet1!$B$4</definedName>
    <definedName name="pwr">Sheet1!$B$5</definedName>
    <definedName name="size">Sheet1!$B$7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1" l="1"/>
  <c r="E10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4" i="1"/>
  <c r="F17" i="1" l="1"/>
  <c r="G17" i="1" s="1"/>
  <c r="F12" i="1"/>
  <c r="G12" i="1" s="1"/>
  <c r="F8" i="1"/>
  <c r="G8" i="1" s="1"/>
  <c r="F15" i="1"/>
  <c r="G15" i="1" s="1"/>
  <c r="F7" i="1"/>
  <c r="G7" i="1" s="1"/>
  <c r="F20" i="1"/>
  <c r="G20" i="1" s="1"/>
  <c r="F18" i="1"/>
  <c r="G18" i="1" s="1"/>
  <c r="F13" i="1"/>
  <c r="G13" i="1" s="1"/>
  <c r="F10" i="1"/>
  <c r="G10" i="1" s="1"/>
  <c r="F9" i="1"/>
  <c r="G9" i="1" s="1"/>
  <c r="F6" i="1"/>
  <c r="G6" i="1" s="1"/>
  <c r="F19" i="1"/>
  <c r="G19" i="1" s="1"/>
  <c r="F16" i="1"/>
  <c r="G16" i="1" s="1"/>
  <c r="F14" i="1"/>
  <c r="G14" i="1" s="1"/>
  <c r="F11" i="1"/>
  <c r="G11" i="1" s="1"/>
  <c r="F4" i="1"/>
  <c r="G4" i="1" s="1"/>
  <c r="F5" i="1"/>
  <c r="G5" i="1" s="1"/>
</calcChain>
</file>

<file path=xl/sharedStrings.xml><?xml version="1.0" encoding="utf-8"?>
<sst xmlns="http://schemas.openxmlformats.org/spreadsheetml/2006/main" count="17" uniqueCount="15">
  <si>
    <t>entropy</t>
  </si>
  <si>
    <t>score</t>
  </si>
  <si>
    <t>size</t>
  </si>
  <si>
    <t>pwr</t>
  </si>
  <si>
    <t>mul</t>
  </si>
  <si>
    <t>strlen</t>
  </si>
  <si>
    <t>https://www.omnicalculator.com/other/password-entropy</t>
  </si>
  <si>
    <t>strength</t>
  </si>
  <si>
    <t>label</t>
  </si>
  <si>
    <t>v weak</t>
  </si>
  <si>
    <t>weak</t>
  </si>
  <si>
    <t>fair</t>
  </si>
  <si>
    <t>good</t>
  </si>
  <si>
    <t>v strong</t>
  </si>
  <si>
    <t>strong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</si>
</sst>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1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11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Sheet1!$E$3</c:f>
              <c:strCache>
                <c:ptCount val="1"/>
                <c:pt idx="0">
                  <c:v>entropy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Sheet1!$D$4:$D$20</c:f>
              <c:numCache>
                <c:formatCode>General</c:formatCode>
                <c:ptCount val="1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</c:numCache>
            </c:numRef>
          </c:xVal>
          <c:yVal>
            <c:numRef>
              <c:f>Sheet1!$E$4:$E$20</c:f>
              <c:numCache>
                <c:formatCode>0.00</c:formatCode>
                <c:ptCount val="17"/>
                <c:pt idx="0">
                  <c:v>0</c:v>
                </c:pt>
                <c:pt idx="1">
                  <c:v>6.5999128421871278</c:v>
                </c:pt>
                <c:pt idx="2">
                  <c:v>13.199825684374256</c:v>
                </c:pt>
                <c:pt idx="3">
                  <c:v>19.799738526561384</c:v>
                </c:pt>
                <c:pt idx="4">
                  <c:v>26.399651368748511</c:v>
                </c:pt>
                <c:pt idx="5">
                  <c:v>32.999564210935638</c:v>
                </c:pt>
                <c:pt idx="6">
                  <c:v>39.599477053122769</c:v>
                </c:pt>
                <c:pt idx="7">
                  <c:v>46.199389895309892</c:v>
                </c:pt>
                <c:pt idx="8">
                  <c:v>52.799302737497023</c:v>
                </c:pt>
                <c:pt idx="9">
                  <c:v>59.399215579684153</c:v>
                </c:pt>
                <c:pt idx="10">
                  <c:v>65.999128421871276</c:v>
                </c:pt>
                <c:pt idx="11">
                  <c:v>72.5990412640584</c:v>
                </c:pt>
                <c:pt idx="12">
                  <c:v>79.198954106245537</c:v>
                </c:pt>
                <c:pt idx="13">
                  <c:v>85.798866948432661</c:v>
                </c:pt>
                <c:pt idx="14">
                  <c:v>92.398779790619784</c:v>
                </c:pt>
                <c:pt idx="15">
                  <c:v>98.998692632806922</c:v>
                </c:pt>
                <c:pt idx="16">
                  <c:v>105.59860547499405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43-4E22-92BE-3D60CDE835B8}"/>
            </c:ext>
          </c:extLst>
        </c:ser>
        <c:ser>
          <c:idx val="1"/>
          <c:order val="1"/>
          <c:tx>
            <c:strRef>
              <c:f>Sheet1!$F$3</c:f>
              <c:strCache>
                <c:ptCount val="1"/>
                <c:pt idx="0">
                  <c:v>score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Sheet1!$D$4:$D$20</c:f>
              <c:numCache>
                <c:formatCode>General</c:formatCode>
                <c:ptCount val="1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</c:numCache>
            </c:numRef>
          </c:xVal>
          <c:yVal>
            <c:numRef>
              <c:f>Sheet1!$F$4:$F$20</c:f>
              <c:numCache>
                <c:formatCode>0.00</c:formatCode>
                <c:ptCount val="17"/>
                <c:pt idx="0">
                  <c:v>0</c:v>
                </c:pt>
                <c:pt idx="1">
                  <c:v>3.4875537940816872</c:v>
                </c:pt>
                <c:pt idx="2">
                  <c:v>8.587364739647068</c:v>
                </c:pt>
                <c:pt idx="3">
                  <c:v>14.547171078556012</c:v>
                </c:pt>
                <c:pt idx="4">
                  <c:v>21.144572249143224</c:v>
                </c:pt>
                <c:pt idx="5">
                  <c:v>28.260635313496774</c:v>
                </c:pt>
                <c:pt idx="6">
                  <c:v>35.819336806673959</c:v>
                </c:pt>
                <c:pt idx="7">
                  <c:v>43.767160050471666</c:v>
                </c:pt>
                <c:pt idx="8">
                  <c:v>52.064043994201263</c:v>
                </c:pt>
                <c:pt idx="9">
                  <c:v>60.678687379071278</c:v>
                </c:pt>
                <c:pt idx="10">
                  <c:v>69.585846567579225</c:v>
                </c:pt>
                <c:pt idx="11">
                  <c:v>78.764660581454834</c:v>
                </c:pt>
                <c:pt idx="12">
                  <c:v>88.197552798513172</c:v>
                </c:pt>
                <c:pt idx="13">
                  <c:v>97.869478267879529</c:v>
                </c:pt>
                <c:pt idx="14">
                  <c:v>107.76738916822201</c:v>
                </c:pt>
                <c:pt idx="15">
                  <c:v>117.87984385839994</c:v>
                </c:pt>
                <c:pt idx="16">
                  <c:v>128.19671379920965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43-4E22-92BE-3D60CDE83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6027568"/>
        <c:axId val="621407088"/>
      </c:scatterChart>
      <c:valAx>
        <c:axId val="896027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407088"/>
        <c:crosses val="autoZero"/>
        <c:crossBetween val="midCat"/>
      </c:valAx>
      <c:valAx>
        <c:axId val="62140708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027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219074</xdr:colOff>
      <xdr:row>2</xdr:row>
      <xdr:rowOff>80962</xdr:rowOff>
    </xdr:from>
    <xdr:to>
      <xdr:col>21</xdr:col>
      <xdr:colOff>76199</xdr:colOff>
      <xdr:row>29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6E89CC-A996-B760-EFFD-29FD24A69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3B487-E7C2-419B-ADC8-E60805B31502}" name="Table1" displayName="Table1" ref="D3:G20" totalsRowShown="0" headerRowDxfId="10" dataDxfId="9">
  <autoFilter ref="D3:G20" xr:uid="{96B3B487-E7C2-419B-ADC8-E60805B31502}"/>
  <tableColumns count="4">
    <tableColumn id="3" xr3:uid="{94E688CF-59A3-45DD-9D42-13175B67F354}" name="strlen" dataDxfId="8"/>
    <tableColumn id="1" xr3:uid="{6A0AE597-A356-47BB-92A9-366BA9A90B9D}" name="entropy" dataDxfId="6">
      <calculatedColumnFormula>LOG(size^Table1[[#This Row],[strlen]], 2)</calculatedColumnFormula>
    </tableColumn>
    <tableColumn id="2" xr3:uid="{DE101A8F-8A1F-49D9-8A14-4FC5D2F4CDE9}" name="score" dataDxfId="7">
      <calculatedColumnFormula>mul * E4^pwr</calculatedColumnFormula>
    </tableColumn>
    <tableColumn id="5" xr3:uid="{905BFEFF-0194-436A-AD03-5DC43FB43DA6}" name="strength" dataDxfId="0">
      <calculatedColumnFormula>ROUND(Table1[[#This Row],[score]]/20,0)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B74D6C-135F-40E9-876A-0FDFA1421B30}" name="Table2" displayName="Table2" ref="D23:F29" totalsRowShown="0" headerRowDxfId="5" dataDxfId="4">
  <autoFilter ref="D23:F29" xr:uid="{F3B74D6C-135F-40E9-876A-0FDFA1421B30}"/>
  <tableColumns count="3">
    <tableColumn id="1" xr3:uid="{ABD7F27A-6A79-471F-9471-7767A7E66DD7}" name="entropy" dataDxfId="1"/>
    <tableColumn id="4" xr3:uid="{C5953E64-853D-4FEF-B544-B494F9D60C06}" name="label" dataDxfId="2"/>
    <tableColumn id="2" xr3:uid="{59E0F959-0BFB-4448-BECB-7DF0454927C8}" name="strength" dataDxfId="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591A-D8AB-4DA1-9480-A257A9B548A1}">
  <dimension ref="A1:G29"/>
  <sheetViews>
    <sheetView tabSelected="1" workbookViewId="0">
      <selection activeCell="B24" sqref="B24"/>
    </sheetView>
  </sheetViews>
  <sheetFormatPr defaultRowHeight="15" x14ac:dyDescent="0.25"/>
  <cols>
    <col min="1" max="1" width="8.28515625" customWidth="1"/>
    <col min="2" max="2" width="7.85546875" customWidth="1"/>
    <col min="3" max="3" width="5.140625" customWidth="1"/>
    <col min="4" max="4" width="14" customWidth="1"/>
    <col min="5" max="5" width="14" style="3" customWidth="1"/>
    <col min="6" max="7" width="14" customWidth="1"/>
  </cols>
  <sheetData>
    <row r="1" spans="1:7" x14ac:dyDescent="0.25">
      <c r="A1" t="str">
        <f>"$score = ($entropy ** "&amp;pwr&amp;") * "&amp;mul&amp;";"</f>
        <v>$score = ($entropy ** 1.3) * 0.3;</v>
      </c>
    </row>
    <row r="3" spans="1:7" x14ac:dyDescent="0.25">
      <c r="D3" s="1" t="s">
        <v>5</v>
      </c>
      <c r="E3" s="1" t="s">
        <v>0</v>
      </c>
      <c r="F3" s="2" t="s">
        <v>1</v>
      </c>
      <c r="G3" s="1" t="s">
        <v>7</v>
      </c>
    </row>
    <row r="4" spans="1:7" x14ac:dyDescent="0.25">
      <c r="A4" t="s">
        <v>4</v>
      </c>
      <c r="B4" s="6">
        <v>0.3</v>
      </c>
      <c r="D4" s="1">
        <v>0</v>
      </c>
      <c r="E4" s="2">
        <f>LOG(size^Table1[[#This Row],[strlen]], 2)</f>
        <v>0</v>
      </c>
      <c r="F4" s="2">
        <f>mul * E4^pwr</f>
        <v>0</v>
      </c>
      <c r="G4" s="1">
        <f>ROUND(Table1[[#This Row],[score]]/20,0)</f>
        <v>0</v>
      </c>
    </row>
    <row r="5" spans="1:7" x14ac:dyDescent="0.25">
      <c r="A5" t="s">
        <v>3</v>
      </c>
      <c r="B5" s="6">
        <v>1.3</v>
      </c>
      <c r="D5" s="1">
        <v>1</v>
      </c>
      <c r="E5" s="2">
        <f>LOG(size^Table1[[#This Row],[strlen]], 2)</f>
        <v>6.5999128421871278</v>
      </c>
      <c r="F5" s="2">
        <f>mul * E5^pwr</f>
        <v>3.4875537940816872</v>
      </c>
      <c r="G5" s="1">
        <f>ROUND(Table1[[#This Row],[score]]/20,0)</f>
        <v>0</v>
      </c>
    </row>
    <row r="6" spans="1:7" x14ac:dyDescent="0.25">
      <c r="D6" s="1">
        <v>2</v>
      </c>
      <c r="E6" s="2">
        <f>LOG(size^Table1[[#This Row],[strlen]], 2)</f>
        <v>13.199825684374256</v>
      </c>
      <c r="F6" s="2">
        <f>mul * E6^pwr</f>
        <v>8.587364739647068</v>
      </c>
      <c r="G6" s="1">
        <f>ROUND(Table1[[#This Row],[score]]/20,0)</f>
        <v>0</v>
      </c>
    </row>
    <row r="7" spans="1:7" x14ac:dyDescent="0.25">
      <c r="A7" t="s">
        <v>2</v>
      </c>
      <c r="B7" s="6">
        <v>97</v>
      </c>
      <c r="D7" s="1">
        <v>3</v>
      </c>
      <c r="E7" s="2">
        <f>LOG(size^Table1[[#This Row],[strlen]], 2)</f>
        <v>19.799738526561384</v>
      </c>
      <c r="F7" s="2">
        <f>mul * E7^pwr</f>
        <v>14.547171078556012</v>
      </c>
      <c r="G7" s="1">
        <f>ROUND(Table1[[#This Row],[score]]/20,0)</f>
        <v>1</v>
      </c>
    </row>
    <row r="8" spans="1:7" x14ac:dyDescent="0.25">
      <c r="D8" s="1">
        <v>4</v>
      </c>
      <c r="E8" s="2">
        <f>LOG(size^Table1[[#This Row],[strlen]], 2)</f>
        <v>26.399651368748511</v>
      </c>
      <c r="F8" s="2">
        <f>mul * E8^pwr</f>
        <v>21.144572249143224</v>
      </c>
      <c r="G8" s="1">
        <f>ROUND(Table1[[#This Row],[score]]/20,0)</f>
        <v>1</v>
      </c>
    </row>
    <row r="9" spans="1:7" x14ac:dyDescent="0.25">
      <c r="D9" s="1">
        <v>5</v>
      </c>
      <c r="E9" s="2">
        <f>LOG(size^Table1[[#This Row],[strlen]], 2)</f>
        <v>32.999564210935638</v>
      </c>
      <c r="F9" s="2">
        <f>mul * E9^pwr</f>
        <v>28.260635313496774</v>
      </c>
      <c r="G9" s="1">
        <f>ROUND(Table1[[#This Row],[score]]/20,0)</f>
        <v>1</v>
      </c>
    </row>
    <row r="10" spans="1:7" x14ac:dyDescent="0.25">
      <c r="D10" s="1">
        <v>6</v>
      </c>
      <c r="E10" s="2">
        <f>LOG(size^Table1[[#This Row],[strlen]], 2)</f>
        <v>39.599477053122769</v>
      </c>
      <c r="F10" s="2">
        <f>mul * E10^pwr</f>
        <v>35.819336806673959</v>
      </c>
      <c r="G10" s="1">
        <f>ROUND(Table1[[#This Row],[score]]/20,0)</f>
        <v>2</v>
      </c>
    </row>
    <row r="11" spans="1:7" x14ac:dyDescent="0.25">
      <c r="D11" s="1">
        <v>7</v>
      </c>
      <c r="E11" s="2">
        <f>LOG(size^Table1[[#This Row],[strlen]], 2)</f>
        <v>46.199389895309892</v>
      </c>
      <c r="F11" s="2">
        <f>mul * E11^pwr</f>
        <v>43.767160050471666</v>
      </c>
      <c r="G11" s="1">
        <f>ROUND(Table1[[#This Row],[score]]/20,0)</f>
        <v>2</v>
      </c>
    </row>
    <row r="12" spans="1:7" x14ac:dyDescent="0.25">
      <c r="D12" s="1">
        <v>8</v>
      </c>
      <c r="E12" s="2">
        <f>LOG(size^Table1[[#This Row],[strlen]], 2)</f>
        <v>52.799302737497023</v>
      </c>
      <c r="F12" s="2">
        <f>mul * E12^pwr</f>
        <v>52.064043994201263</v>
      </c>
      <c r="G12" s="1">
        <f>ROUND(Table1[[#This Row],[score]]/20,0)</f>
        <v>3</v>
      </c>
    </row>
    <row r="13" spans="1:7" x14ac:dyDescent="0.25">
      <c r="D13" s="1">
        <v>9</v>
      </c>
      <c r="E13" s="2">
        <f>LOG(size^Table1[[#This Row],[strlen]], 2)</f>
        <v>59.399215579684153</v>
      </c>
      <c r="F13" s="2">
        <f>mul * E13^pwr</f>
        <v>60.678687379071278</v>
      </c>
      <c r="G13" s="1">
        <f>ROUND(Table1[[#This Row],[score]]/20,0)</f>
        <v>3</v>
      </c>
    </row>
    <row r="14" spans="1:7" x14ac:dyDescent="0.25">
      <c r="D14" s="1">
        <v>10</v>
      </c>
      <c r="E14" s="2">
        <f>LOG(size^Table1[[#This Row],[strlen]], 2)</f>
        <v>65.999128421871276</v>
      </c>
      <c r="F14" s="2">
        <f>mul * E14^pwr</f>
        <v>69.585846567579225</v>
      </c>
      <c r="G14" s="1">
        <f>ROUND(Table1[[#This Row],[score]]/20,0)</f>
        <v>3</v>
      </c>
    </row>
    <row r="15" spans="1:7" x14ac:dyDescent="0.25">
      <c r="D15" s="1">
        <v>11</v>
      </c>
      <c r="E15" s="2">
        <f>LOG(size^Table1[[#This Row],[strlen]], 2)</f>
        <v>72.5990412640584</v>
      </c>
      <c r="F15" s="2">
        <f>mul * E15^pwr</f>
        <v>78.764660581454834</v>
      </c>
      <c r="G15" s="1">
        <f>ROUND(Table1[[#This Row],[score]]/20,0)</f>
        <v>4</v>
      </c>
    </row>
    <row r="16" spans="1:7" x14ac:dyDescent="0.25">
      <c r="D16" s="1">
        <v>12</v>
      </c>
      <c r="E16" s="2">
        <f>LOG(size^Table1[[#This Row],[strlen]], 2)</f>
        <v>79.198954106245537</v>
      </c>
      <c r="F16" s="2">
        <f>mul * E16^pwr</f>
        <v>88.197552798513172</v>
      </c>
      <c r="G16" s="1">
        <f>ROUND(Table1[[#This Row],[score]]/20,0)</f>
        <v>4</v>
      </c>
    </row>
    <row r="17" spans="4:7" x14ac:dyDescent="0.25">
      <c r="D17" s="1">
        <v>13</v>
      </c>
      <c r="E17" s="2">
        <f>LOG(size^Table1[[#This Row],[strlen]], 2)</f>
        <v>85.798866948432661</v>
      </c>
      <c r="F17" s="2">
        <f>mul * E17^pwr</f>
        <v>97.869478267879529</v>
      </c>
      <c r="G17" s="1">
        <f>ROUND(Table1[[#This Row],[score]]/20,0)</f>
        <v>5</v>
      </c>
    </row>
    <row r="18" spans="4:7" x14ac:dyDescent="0.25">
      <c r="D18" s="1">
        <v>14</v>
      </c>
      <c r="E18" s="2">
        <f>LOG(size^Table1[[#This Row],[strlen]], 2)</f>
        <v>92.398779790619784</v>
      </c>
      <c r="F18" s="2">
        <f>mul * E18^pwr</f>
        <v>107.76738916822201</v>
      </c>
      <c r="G18" s="1">
        <f>ROUND(Table1[[#This Row],[score]]/20,0)</f>
        <v>5</v>
      </c>
    </row>
    <row r="19" spans="4:7" x14ac:dyDescent="0.25">
      <c r="D19" s="1">
        <v>15</v>
      </c>
      <c r="E19" s="2">
        <f>LOG(size^Table1[[#This Row],[strlen]], 2)</f>
        <v>98.998692632806922</v>
      </c>
      <c r="F19" s="2">
        <f>mul * E19^pwr</f>
        <v>117.87984385839994</v>
      </c>
      <c r="G19" s="1">
        <f>ROUND(Table1[[#This Row],[score]]/20,0)</f>
        <v>6</v>
      </c>
    </row>
    <row r="20" spans="4:7" x14ac:dyDescent="0.25">
      <c r="D20" s="1">
        <v>16</v>
      </c>
      <c r="E20" s="2">
        <f>LOG(size^Table1[[#This Row],[strlen]], 2)</f>
        <v>105.59860547499405</v>
      </c>
      <c r="F20" s="2">
        <f>mul * E20^pwr</f>
        <v>128.19671379920965</v>
      </c>
      <c r="G20" s="1">
        <f>ROUND(Table1[[#This Row],[score]]/20,0)</f>
        <v>6</v>
      </c>
    </row>
    <row r="22" spans="4:7" x14ac:dyDescent="0.25">
      <c r="D22" t="s">
        <v>6</v>
      </c>
    </row>
    <row r="23" spans="4:7" x14ac:dyDescent="0.25">
      <c r="D23" s="4" t="s">
        <v>0</v>
      </c>
      <c r="E23" s="4" t="s">
        <v>8</v>
      </c>
      <c r="F23" s="4" t="s">
        <v>7</v>
      </c>
    </row>
    <row r="24" spans="4:7" x14ac:dyDescent="0.25">
      <c r="D24" s="5">
        <v>0</v>
      </c>
      <c r="E24" s="4" t="s">
        <v>9</v>
      </c>
      <c r="F24" s="4">
        <v>0</v>
      </c>
    </row>
    <row r="25" spans="4:7" x14ac:dyDescent="0.25">
      <c r="D25" s="5">
        <v>16</v>
      </c>
      <c r="E25" s="4" t="s">
        <v>10</v>
      </c>
      <c r="F25" s="4">
        <v>1</v>
      </c>
    </row>
    <row r="26" spans="4:7" x14ac:dyDescent="0.25">
      <c r="D26" s="5">
        <v>24</v>
      </c>
      <c r="E26" s="4" t="s">
        <v>11</v>
      </c>
      <c r="F26" s="4">
        <v>2</v>
      </c>
    </row>
    <row r="27" spans="4:7" x14ac:dyDescent="0.25">
      <c r="D27" s="5">
        <v>36</v>
      </c>
      <c r="E27" s="4" t="s">
        <v>12</v>
      </c>
      <c r="F27" s="4">
        <v>3</v>
      </c>
    </row>
    <row r="28" spans="4:7" x14ac:dyDescent="0.25">
      <c r="D28" s="5">
        <v>54</v>
      </c>
      <c r="E28" s="4" t="s">
        <v>14</v>
      </c>
      <c r="F28" s="4">
        <v>4</v>
      </c>
    </row>
    <row r="29" spans="4:7" x14ac:dyDescent="0.25">
      <c r="D29" s="5">
        <v>64</v>
      </c>
      <c r="E29" s="4" t="s">
        <v>13</v>
      </c>
      <c r="F29" s="4">
        <v>5</v>
      </c>
    </row>
  </sheetData>
  <conditionalFormatting sqref="G4:G20">
    <cfRule type="iconSet" priority="1">
      <iconSet>
        <cfvo type="percent" val="0"/>
        <cfvo type="num" val="2"/>
        <cfvo type="num" val="4"/>
      </iconSet>
    </cfRule>
  </conditionalFormatting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mul</vt:lpstr>
      <vt:lpstr>pwr</vt:lpstr>
      <vt:lpstr>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Keasley</dc:creator>
  <cp:lastModifiedBy>Richard Keasley</cp:lastModifiedBy>
  <dcterms:created xsi:type="dcterms:W3CDTF">2026-07-08T10:50:31Z</dcterms:created>
  <dcterms:modified xsi:type="dcterms:W3CDTF">2026-07-08T12:18:12Z</dcterms:modified>
</cp:coreProperties>
</file>